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Categories" sheetId="3" state="visible" r:id="rId5"/>
    <sheet name="Clause Bank" sheetId="4" state="visible" r:id="rId6"/>
  </sheets>
  <definedNames>
    <definedName function="false" hidden="true" localSheetId="3" name="_xlnm._FilterDatabase" vbProcedure="false">'Clause Bank'!$A$1:$K$61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<sst xmlns="http://schemas.openxmlformats.org/spreadsheetml/2006/main" count="558" uniqueCount="252">
  <si>
    <t xml:space="preserve">Renewal Shield — Clause Bank v0.3 (draft)</t>
  </si>
  <si>
    <t xml:space="preserve">What this is</t>
  </si>
  <si>
    <t xml:space="preserve">Example clauses for the 6 v1 clause types, each in a 'problem' and a 'fine' version. This is the base for the synthetic contracts, the labels and the benchmark.</t>
  </si>
  <si>
    <t xml:space="preserve">How to review (your job)</t>
  </si>
  <si>
    <t xml:space="preserve">1. Go through the 'Clause Bank' sheet row by row.</t>
  </si>
  <si>
    <t xml:space="preserve">2. Yellow columns are yours: set 'verified' to yes / no / unsure.</t>
  </si>
  <si>
    <t xml:space="preserve">3. If the wording doesn't sound like a real Dubai contract, rewrite it in 'edited_text'.</t>
  </si>
  <si>
    <t xml:space="preserve">4. Use 'notes' for anything else (wrong label, wrong law ref, idea for a new variant).</t>
  </si>
  <si>
    <t xml:space="preserve">5. Confirm every law_ref against the official text. IMPORTANT: use Law 26/2007 AS AMENDED by Law 33/2008 (the amendment replaced Articles 2, 3, 4, 9, 13, 14, 15, 25, 26, 29, 36). The original 2007 PDF alone is out of date for Art. 9, 13, 14, 25 and 26. Rent caps come from Decree 43/2013 + the DLD rental index.</t>
  </si>
  <si>
    <t xml:space="preserve">Column guide</t>
  </si>
  <si>
    <t xml:space="preserve">label: problem = should be flagged; fine = should NOT be flagged.</t>
  </si>
  <si>
    <t xml:space="preserve">severity: red = likely conflicts with the law · yellow = legal but unfavourable (negotiate) · none = fine.</t>
  </si>
  <si>
    <t xml:space="preserve">difficulty: easy = obvious wording · hard = tricky wording or a 'hard negative' (looks risky but is fine). Hard rows are what make the benchmark meaningful.</t>
  </si>
  <si>
    <t xml:space="preserve">Important</t>
  </si>
  <si>
    <t xml:space="preserve">These are drafts written by Claude, not legal advice. Labels are only final once you've verified them against the law.</t>
  </si>
  <si>
    <t xml:space="preserve">v1 is English only. Arabic versions come in v2.</t>
  </si>
  <si>
    <t xml:space="preserve">Placeholders</t>
  </si>
  <si>
    <t xml:space="preserve">Some clauses use placeholders that the generator fills from the contract's own fields so numbers always match: {deposit}, {rent}, {rent_next_year}, {cleaning_fee}. You can use them in edited_text too.</t>
  </si>
  <si>
    <t xml:space="preserve">category</t>
  </si>
  <si>
    <t xml:space="preserve">problem</t>
  </si>
  <si>
    <t xml:space="preserve">fine</t>
  </si>
  <si>
    <t xml:space="preserve">hard rows</t>
  </si>
  <si>
    <t xml:space="preserve">verified yes</t>
  </si>
  <si>
    <t xml:space="preserve">verified total</t>
  </si>
  <si>
    <t xml:space="preserve">% verified</t>
  </si>
  <si>
    <t xml:space="preserve">rent_increase</t>
  </si>
  <si>
    <t xml:space="preserve">notice_period</t>
  </si>
  <si>
    <t xml:space="preserve">landlord_termination</t>
  </si>
  <si>
    <t xml:space="preserve">early_termination</t>
  </si>
  <si>
    <t xml:space="preserve">maintenance</t>
  </si>
  <si>
    <t xml:space="preserve">deposit</t>
  </si>
  <si>
    <t xml:space="preserve">TOTAL</t>
  </si>
  <si>
    <t xml:space="preserve">name</t>
  </si>
  <si>
    <t xml:space="preserve">what to flag</t>
  </si>
  <si>
    <t xml:space="preserve">law_ref</t>
  </si>
  <si>
    <t xml:space="preserve">default severity</t>
  </si>
  <si>
    <t xml:space="preserve">Fixed rent increase on renewal</t>
  </si>
  <si>
    <t xml:space="preserve">Clause sets a rent increase on renewal (a fixed % or amount, or 'at landlord's discretion') instead of following the official rental index.</t>
  </si>
  <si>
    <t xml:space="preserve">Art. 9 (as amended by Law 33/2008); Decree 43/2013; DLD Smart Rental Index</t>
  </si>
  <si>
    <t xml:space="preserve">red</t>
  </si>
  <si>
    <t xml:space="preserve">Short notice to change rent/terms</t>
  </si>
  <si>
    <t xml:space="preserve">Landlord can change the rent or other terms at renewal with less than 90 days' notice. Art. 14 allows the parties to agree a different period, so a short agreed period is yellow (negotiate); red only when there is effectively no notice at all.</t>
  </si>
  <si>
    <t xml:space="preserve">Art. 14 (90 days unless otherwise agreed by the parties)</t>
  </si>
  <si>
    <t xml:space="preserve">yellow/red</t>
  </si>
  <si>
    <t xml:space="preserve">Landlord can end the lease too easily</t>
  </si>
  <si>
    <t xml:space="preserve">Landlord can terminate during the term, or refuse renewal / evict at expiry, without the legal grounds and 12 months' notice via notary public or registered mail.</t>
  </si>
  <si>
    <t xml:space="preserve">Art. 25 (as amended by Law 33/2008)</t>
  </si>
  <si>
    <t xml:space="preserve">Early termination penalty</t>
  </si>
  <si>
    <t xml:space="preserve">What the tenant pays to leave before the end of the term. Not fixed by the law, so it's a negotiation point. Flag if unusually high.</t>
  </si>
  <si>
    <t xml:space="preserve">Art. 7 (no unilateral termination during the term; early exit only by mutual consent/contract terms)</t>
  </si>
  <si>
    <t xml:space="preserve">yellow</t>
  </si>
  <si>
    <t xml:space="preserve">Maintenance pushed onto tenant</t>
  </si>
  <si>
    <t xml:space="preserve">Default is that the landlord handles maintenance and repairs, but the parties can agree otherwise. Flag clauses that push major/structural repairs onto the tenant.</t>
  </si>
  <si>
    <t xml:space="preserve">Art. 16</t>
  </si>
  <si>
    <t xml:space="preserve">Deposit deductions / non-refundable deposit</t>
  </si>
  <si>
    <t xml:space="preserve">Deposit is non-refundable, or the landlord can deduct at sole discretion without proof, or no refund timeline.</t>
  </si>
  <si>
    <t xml:space="preserve">Art. 20 (deposit refunded, or remainder, on expiry); Art. 21 (ordinary wear and tear excepted)</t>
  </si>
  <si>
    <t xml:space="preserve">red/yellow</t>
  </si>
  <si>
    <t xml:space="preserve">id</t>
  </si>
  <si>
    <t xml:space="preserve">label</t>
  </si>
  <si>
    <t xml:space="preserve">severity</t>
  </si>
  <si>
    <t xml:space="preserve">difficulty</t>
  </si>
  <si>
    <t xml:space="preserve">clause_text</t>
  </si>
  <si>
    <t xml:space="preserve">why</t>
  </si>
  <si>
    <t xml:space="preserve">verified</t>
  </si>
  <si>
    <t xml:space="preserve">edited_text</t>
  </si>
  <si>
    <t xml:space="preserve">notes</t>
  </si>
  <si>
    <t xml:space="preserve">RI-P01</t>
  </si>
  <si>
    <t xml:space="preserve">easy</t>
  </si>
  <si>
    <t xml:space="preserve">Upon renewal of this contract, the annual rent shall automatically increase by ten percent (10%) of the current rent.</t>
  </si>
  <si>
    <t xml:space="preserve">Fixed 10% increase regardless of the rental index.</t>
  </si>
  <si>
    <t xml:space="preserve">RI-P02</t>
  </si>
  <si>
    <t xml:space="preserve">The Landlord reserves the right to increase the rent at each renewal at his sole discretion.</t>
  </si>
  <si>
    <t xml:space="preserve">Increase left entirely to landlord, ignores the index cap.</t>
  </si>
  <si>
    <t xml:space="preserve">RI-P03</t>
  </si>
  <si>
    <t xml:space="preserve">The rent for the second year shall be {rent_next_year} and the Tenant hereby agrees to this amount in advance.</t>
  </si>
  <si>
    <t xml:space="preserve">Pre-agreed renewal rent that may exceed what the index permits.</t>
  </si>
  <si>
    <t xml:space="preserve">RI-P04</t>
  </si>
  <si>
    <t xml:space="preserve">hard</t>
  </si>
  <si>
    <t xml:space="preserve">The Tenant acknowledges that market conditions may require a rent adjustment of up to 15% upon renewal, and agrees to accept such adjustment.</t>
  </si>
  <si>
    <t xml:space="preserve">Soft wording ('adjustment', 'up to') but still pre-commits the tenant to an increase above the index.</t>
  </si>
  <si>
    <t xml:space="preserve">RI-P05</t>
  </si>
  <si>
    <t xml:space="preserve">Any renewal shall be on the Landlord's then-prevailing market rates, which the Tenant shall not dispute.</t>
  </si>
  <si>
    <t xml:space="preserve">'Market rates' + waiver of the right to dispute bypasses the index.</t>
  </si>
  <si>
    <t xml:space="preserve">RI-F01</t>
  </si>
  <si>
    <t xml:space="preserve">none</t>
  </si>
  <si>
    <t xml:space="preserve">Any increase in rent upon renewal shall be in accordance with the rental index issued by the Dubai Land Department / RERA.</t>
  </si>
  <si>
    <t xml:space="preserve">Explicitly follows the official index.</t>
  </si>
  <si>
    <t xml:space="preserve">RI-F02</t>
  </si>
  <si>
    <t xml:space="preserve">The rent shall remain unchanged for the duration of this contract.</t>
  </si>
  <si>
    <t xml:space="preserve">No change during the term. Normal.</t>
  </si>
  <si>
    <t xml:space="preserve">RI-F03</t>
  </si>
  <si>
    <t xml:space="preserve">Rent increases, if any, shall be subject to the applicable laws and decrees of the Emirate of Dubai.</t>
  </si>
  <si>
    <t xml:space="preserve">Defers to the law.</t>
  </si>
  <si>
    <t xml:space="preserve">RI-F04</t>
  </si>
  <si>
    <t xml:space="preserve">The parties may agree on a revised rent upon renewal, provided that any increase does not exceed the limit permitted under the RERA rental index.</t>
  </si>
  <si>
    <t xml:space="preserve">Mentions an increase, but capped by the index. Hard negative.</t>
  </si>
  <si>
    <t xml:space="preserve">RI-F05</t>
  </si>
  <si>
    <t xml:space="preserve">Should the rental index permit an increase at the time of renewal, the Landlord may apply such increase subject to the notice requirements of the law.</t>
  </si>
  <si>
    <t xml:space="preserve">Conditional on index + notice. Hard negative.</t>
  </si>
  <si>
    <t xml:space="preserve">NP-P01</t>
  </si>
  <si>
    <t xml:space="preserve">The Landlord may amend the terms of this contract, including the rent, by giving the Tenant thirty (30) days' notice before expiry.</t>
  </si>
  <si>
    <t xml:space="preserve">30 days is below the 90-day default. Art. 14 allows the parties to agree otherwise, so legal if signed, but unfavourable: negotiate back to 90.</t>
  </si>
  <si>
    <t xml:space="preserve">NP-P02</t>
  </si>
  <si>
    <t xml:space="preserve">Any change to the rent will be communicated to the Tenant one (1) month before the end of the contract.</t>
  </si>
  <si>
    <t xml:space="preserve">One month is below the 90-day default; an agreed shorter period is allowed by Art. 14 but bad for the tenant: negotiate.</t>
  </si>
  <si>
    <t xml:space="preserve">NP-P03</t>
  </si>
  <si>
    <t xml:space="preserve">The Landlord may revise the rent or service terms at any time by written notice to the Tenant.</t>
  </si>
  <si>
    <t xml:space="preserve">'At any time' removes the notice period entirely, which defeats the purpose of Art. 14.</t>
  </si>
  <si>
    <t xml:space="preserve">NP-P04</t>
  </si>
  <si>
    <t xml:space="preserve">Notice of revised renewal terms shall be served no later than sixty (60) days prior to the expiry date.</t>
  </si>
  <si>
    <t xml:space="preserve">Sounds formal, but 60 &lt; 90 days. Legal if agreed (Art. 14), still worth negotiating.</t>
  </si>
  <si>
    <t xml:space="preserve">NP-P05</t>
  </si>
  <si>
    <t xml:space="preserve">If the Tenant has not received renewal terms by the expiry date, the Landlord's standard renewal terms shall apply.</t>
  </si>
  <si>
    <t xml:space="preserve">Lets the landlord impose new terms with zero notice.</t>
  </si>
  <si>
    <t xml:space="preserve">NP-F01</t>
  </si>
  <si>
    <t xml:space="preserve">Either party wishing to amend the terms of this contract shall notify the other party at least ninety (90) days before its expiry.</t>
  </si>
  <si>
    <t xml:space="preserve">Matches the 90-day rule.</t>
  </si>
  <si>
    <t xml:space="preserve">NP-F02</t>
  </si>
  <si>
    <t xml:space="preserve">Any proposed change in rent shall be notified in writing not less than three (3) months prior to the expiry of this contract.</t>
  </si>
  <si>
    <t xml:space="preserve">3 months ≈ 90 days. Fine.</t>
  </si>
  <si>
    <t xml:space="preserve">NP-F03</t>
  </si>
  <si>
    <t xml:space="preserve">Notice of non-renewal or amended terms shall be given in accordance with Article 14 of Law No. 26 of 2007.</t>
  </si>
  <si>
    <t xml:space="preserve">Refers to the law directly.</t>
  </si>
  <si>
    <t xml:space="preserve">NP-F04</t>
  </si>
  <si>
    <t xml:space="preserve">The Tenant shall inform the Landlord of his intention not to renew at least sixty (60) days before expiry.</t>
  </si>
  <si>
    <t xml:space="preserve">Art. 14 allows a different notice period if both parties agree, and this is the tenant's own non-renewal notice. Hard negative.</t>
  </si>
  <si>
    <t xml:space="preserve">NP-F05</t>
  </si>
  <si>
    <t xml:space="preserve">The Landlord shall give the Tenant one hundred and twenty (120) days' written notice of any revised renewal terms.</t>
  </si>
  <si>
    <t xml:space="preserve">More than 90 days — better than the law. Hard negative.</t>
  </si>
  <si>
    <t xml:space="preserve">LT-P01</t>
  </si>
  <si>
    <t xml:space="preserve">The Landlord may terminate this contract at any time by giving the Tenant two (2) months' written notice.</t>
  </si>
  <si>
    <t xml:space="preserve">Termination during term without legal grounds; 2 months is far below 12.</t>
  </si>
  <si>
    <t xml:space="preserve">LT-P02</t>
  </si>
  <si>
    <t xml:space="preserve">This contract shall terminate automatically if the property is sold, and the Tenant shall vacate within 30 days.</t>
  </si>
  <si>
    <t xml:space="preserve">Sale does not end the contract; new owner must honour it.</t>
  </si>
  <si>
    <t xml:space="preserve">Art. 28 (sale does not end a fixed-term lease); Art. 25(2)(d) (sale only a ground at expiry, 12 months' notice)</t>
  </si>
  <si>
    <t xml:space="preserve">LT-P03</t>
  </si>
  <si>
    <t xml:space="preserve">The Landlord may require the Tenant to vacate at the end of the contract by giving three (3) months' notice.</t>
  </si>
  <si>
    <t xml:space="preserve">Eviction at expiry needs 12 months via notary/registered mail and a legal reason.</t>
  </si>
  <si>
    <t xml:space="preserve">LT-P04</t>
  </si>
  <si>
    <t xml:space="preserve">The Landlord may recover the premises for personal use upon serving notice by email ninety (90) days before expiry.</t>
  </si>
  <si>
    <t xml:space="preserve">Personal use is a valid reason, but notice must be 12 months and via notary public or registered mail.</t>
  </si>
  <si>
    <t xml:space="preserve">LT-P05</t>
  </si>
  <si>
    <t xml:space="preserve">Should the Landlord decide to renovate the building, this contract shall be deemed terminated upon written notice to the Tenant.</t>
  </si>
  <si>
    <t xml:space="preserve">Renovation is a legal reason only with 12 months' notice and proper permits; 'deemed terminated' skips all of that.</t>
  </si>
  <si>
    <t xml:space="preserve">LT-F01</t>
  </si>
  <si>
    <t xml:space="preserve">The Landlord may not evict the Tenant before the expiry of this contract except in the cases set out in Article 25 of Law No. 26 of 2007.</t>
  </si>
  <si>
    <t xml:space="preserve">Defers to Art. 25.</t>
  </si>
  <si>
    <t xml:space="preserve">LT-F02</t>
  </si>
  <si>
    <t xml:space="preserve">In the event of sale of the property, this contract shall remain valid and binding on the new owner until its expiry.</t>
  </si>
  <si>
    <t xml:space="preserve">Correct position on sale.</t>
  </si>
  <si>
    <t xml:space="preserve">Art. 28 (new owner bound by fixed-term lease)</t>
  </si>
  <si>
    <t xml:space="preserve">LT-F03</t>
  </si>
  <si>
    <t xml:space="preserve">Any eviction notice upon expiry shall be served at least twelve (12) months in advance through a notary public or registered mail, stating the legal reason.</t>
  </si>
  <si>
    <t xml:space="preserve">Matches Art. 25(2).</t>
  </si>
  <si>
    <t xml:space="preserve">LT-F04</t>
  </si>
  <si>
    <t xml:space="preserve">The Landlord may terminate this contract if the Tenant fails to pay the rent within thirty (30) days of being notified in writing.</t>
  </si>
  <si>
    <t xml:space="preserve">Non-payment after 30 days' notice is a legal ground. Hard negative.</t>
  </si>
  <si>
    <t xml:space="preserve">LT-F05</t>
  </si>
  <si>
    <t xml:space="preserve">The Landlord may terminate this contract if the Tenant sublets the premises without the Landlord's written consent.</t>
  </si>
  <si>
    <t xml:space="preserve">Unauthorised subletting is a legal ground. Hard negative.</t>
  </si>
  <si>
    <t xml:space="preserve">ET-P01</t>
  </si>
  <si>
    <t xml:space="preserve">If the Tenant terminates this contract before its expiry, the full remaining rent for the contract period shall be payable to the Landlord.</t>
  </si>
  <si>
    <t xml:space="preserve">Entire remaining rent as penalty — very high, negotiate.</t>
  </si>
  <si>
    <t xml:space="preserve">ET-P02</t>
  </si>
  <si>
    <t xml:space="preserve">Early termination by the Tenant shall result in a penalty of four (4) months' rent and forfeiture of the security deposit.</t>
  </si>
  <si>
    <t xml:space="preserve">4 months + deposit is well above the common 1–2 months.</t>
  </si>
  <si>
    <t xml:space="preserve">ET-P03</t>
  </si>
  <si>
    <t xml:space="preserve">All post-dated cheques shall be non-refundable in the event the Tenant vacates early.</t>
  </si>
  <si>
    <t xml:space="preserve">Effectively the whole remaining rent.</t>
  </si>
  <si>
    <t xml:space="preserve">ET-P04</t>
  </si>
  <si>
    <t xml:space="preserve">In case of early termination, the Tenant shall compensate the Landlord for all losses, including loss of rent until the premises are re-let.</t>
  </si>
  <si>
    <t xml:space="preserve">Open-ended compensation with no cap.</t>
  </si>
  <si>
    <t xml:space="preserve">ET-P05</t>
  </si>
  <si>
    <t xml:space="preserve">The Tenant may not terminate this contract early under any circumstances.</t>
  </si>
  <si>
    <t xml:space="preserve">No exit route at all; worth negotiating an early-exit clause.</t>
  </si>
  <si>
    <t xml:space="preserve">ET-F01</t>
  </si>
  <si>
    <t xml:space="preserve">The Tenant may terminate this contract early by giving two (2) months' written notice and paying a penalty equal to two (2) months' rent.</t>
  </si>
  <si>
    <t xml:space="preserve">Common market practice.</t>
  </si>
  <si>
    <t xml:space="preserve">ET-F02</t>
  </si>
  <si>
    <t xml:space="preserve">Early termination by the Tenant shall be subject to sixty (60) days' notice and a penalty of one (1) month's rent.</t>
  </si>
  <si>
    <t xml:space="preserve">Reasonable.</t>
  </si>
  <si>
    <t xml:space="preserve">ET-F03</t>
  </si>
  <si>
    <t xml:space="preserve">Upon early termination, any unused post-dated cheques shall be returned to the Tenant after deduction of the agreed penalty.</t>
  </si>
  <si>
    <t xml:space="preserve">Protects tenant's remaining cheques.</t>
  </si>
  <si>
    <t xml:space="preserve">ET-F04</t>
  </si>
  <si>
    <t xml:space="preserve">No penalty shall apply if the Tenant terminates early due to relocation outside the UAE, subject to sixty (60) days' notice.</t>
  </si>
  <si>
    <t xml:space="preserve">Tenant-friendly exception. Hard negative.</t>
  </si>
  <si>
    <t xml:space="preserve">ET-F05</t>
  </si>
  <si>
    <t xml:space="preserve">If the Tenant finds a replacement tenant acceptable to the Landlord, no early termination penalty shall be charged.</t>
  </si>
  <si>
    <t xml:space="preserve">Tenant-friendly. Hard negative.</t>
  </si>
  <si>
    <t xml:space="preserve">MA-P01</t>
  </si>
  <si>
    <t xml:space="preserve">The Tenant shall be responsible for all maintenance and repairs of the premises, of whatever nature, throughout the tenancy.</t>
  </si>
  <si>
    <t xml:space="preserve">All maintenance, including major, pushed onto tenant.</t>
  </si>
  <si>
    <t xml:space="preserve">MA-P02</t>
  </si>
  <si>
    <t xml:space="preserve">The Tenant shall bear the cost of all repairs including air-conditioning, plumbing, electrical and structural works.</t>
  </si>
  <si>
    <t xml:space="preserve">Structural works on the tenant — negotiate.</t>
  </si>
  <si>
    <t xml:space="preserve">MA-P03</t>
  </si>
  <si>
    <t xml:space="preserve">The Landlord shall not be liable for any defects or breakdowns arising after handover.</t>
  </si>
  <si>
    <t xml:space="preserve">Removes landlord's default maintenance duty entirely.</t>
  </si>
  <si>
    <t xml:space="preserve">MA-P04</t>
  </si>
  <si>
    <t xml:space="preserve">The Tenant shall maintain the premises in good condition and shall carry out any repairs required, regardless of cost.</t>
  </si>
  <si>
    <t xml:space="preserve">'Regardless of cost' — no cap, includes major repairs.</t>
  </si>
  <si>
    <t xml:space="preserve">MA-P05</t>
  </si>
  <si>
    <t xml:space="preserve">The premises are leased on an 'as is' basis and the Tenant waives any claim relating to their condition.</t>
  </si>
  <si>
    <t xml:space="preserve">As-is + waiver shifts all repair risk to tenant.</t>
  </si>
  <si>
    <t xml:space="preserve">MA-F01</t>
  </si>
  <si>
    <t xml:space="preserve">The Landlord shall be responsible for major maintenance and structural repairs. The Tenant shall be responsible for minor maintenance.</t>
  </si>
  <si>
    <t xml:space="preserve">Standard split.</t>
  </si>
  <si>
    <t xml:space="preserve">MA-F02</t>
  </si>
  <si>
    <t xml:space="preserve">Minor repairs up to AED 500 per incident shall be borne by the Tenant; costs above this amount shall be borne by the Landlord.</t>
  </si>
  <si>
    <t xml:space="preserve">Capped tenant responsibility.</t>
  </si>
  <si>
    <t xml:space="preserve">MA-F03</t>
  </si>
  <si>
    <t xml:space="preserve">The Landlord shall maintain the air-conditioning, plumbing and electrical systems in working order.</t>
  </si>
  <si>
    <t xml:space="preserve">Landlord keeps maintenance duty.</t>
  </si>
  <si>
    <t xml:space="preserve">MA-F04</t>
  </si>
  <si>
    <t xml:space="preserve">The Tenant shall repair any damage caused by his own misuse or negligence.</t>
  </si>
  <si>
    <t xml:space="preserve">Tenant-caused damage is fair to put on the tenant. Hard negative.</t>
  </si>
  <si>
    <t xml:space="preserve">MA-F05</t>
  </si>
  <si>
    <t xml:space="preserve">The Tenant shall replace light bulbs, filters and other consumables at his own cost.</t>
  </si>
  <si>
    <t xml:space="preserve">Minor consumables only. Hard negative.</t>
  </si>
  <si>
    <t xml:space="preserve">DE-P01</t>
  </si>
  <si>
    <t xml:space="preserve">The security deposit of {deposit} is non-refundable.</t>
  </si>
  <si>
    <t xml:space="preserve">Deposit is meant to be returned at the end, minus legitimate damage.</t>
  </si>
  <si>
    <t xml:space="preserve">DE-P02</t>
  </si>
  <si>
    <t xml:space="preserve">The Landlord may deduct from the security deposit any amounts he deems appropriate at his sole discretion.</t>
  </si>
  <si>
    <t xml:space="preserve">Sole discretion, no proof required — negotiate.</t>
  </si>
  <si>
    <t xml:space="preserve">DE-P03</t>
  </si>
  <si>
    <t xml:space="preserve">The security deposit shall be refunded at a time convenient to the Landlord.</t>
  </si>
  <si>
    <t xml:space="preserve">No refund deadline.</t>
  </si>
  <si>
    <t xml:space="preserve">DE-P04</t>
  </si>
  <si>
    <t xml:space="preserve">A fixed cleaning and painting charge of {cleaning_fee} shall be deducted from the deposit upon vacating, irrespective of the condition of the premises.</t>
  </si>
  <si>
    <t xml:space="preserve">Fixed deduction regardless of condition, may cover normal wear and tear.</t>
  </si>
  <si>
    <t xml:space="preserve">DE-P05</t>
  </si>
  <si>
    <t xml:space="preserve">The deposit shall be forfeited in full for any breach of this contract, however minor.</t>
  </si>
  <si>
    <t xml:space="preserve">Full forfeiture for any breach — disproportionate, effectively non-refundable.</t>
  </si>
  <si>
    <t xml:space="preserve">DE-F01</t>
  </si>
  <si>
    <t xml:space="preserve">The security deposit shall be refunded to the Tenant within thirty (30) days of vacating, less the cost of any damage beyond normal wear and tear.</t>
  </si>
  <si>
    <t xml:space="preserve">Standard, fair clause.</t>
  </si>
  <si>
    <t xml:space="preserve">DE-F02</t>
  </si>
  <si>
    <t xml:space="preserve">Any deduction from the security deposit shall be supported by invoices or receipts provided to the Tenant.</t>
  </si>
  <si>
    <t xml:space="preserve">Requires proof.</t>
  </si>
  <si>
    <t xml:space="preserve">DE-F03</t>
  </si>
  <si>
    <t xml:space="preserve">The deposit shall be returned upon handover of keys and settlement of final DEWA and chiller bills.</t>
  </si>
  <si>
    <t xml:space="preserve">Normal conditions.</t>
  </si>
  <si>
    <t xml:space="preserve">DE-F04</t>
  </si>
  <si>
    <t xml:space="preserve">The Landlord may deduct unpaid utility bills attributable to the Tenant's occupation from the deposit.</t>
  </si>
  <si>
    <t xml:space="preserve">Legitimate deduction. Hard negative.</t>
  </si>
  <si>
    <t xml:space="preserve">DE-F05</t>
  </si>
  <si>
    <t xml:space="preserve">Normal wear and tear shall not be deducted from the security deposit.</t>
  </si>
  <si>
    <t xml:space="preserve">Explicitly protects the tenant. Hard negative.</t>
  </si>
</sst>
</file>

<file path=xl/styles.xml><?xml version="1.0" encoding="utf-8"?>
<styleSheet xmlns="http://schemas.openxmlformats.org/spreadsheetml/2006/main">
  <numFmts count="2">
    <numFmt numFmtId="164" formatCode="General"/>
    <numFmt numFmtId="165" formatCode="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2"/>
      <name val="Arial"/>
      <family val="0"/>
      <charset val="1"/>
    </font>
    <font>
      <b val="true"/>
      <sz val="11"/>
      <color rgb="FFFFFFFF"/>
      <name val="Arial"/>
      <family val="0"/>
      <charset val="1"/>
    </font>
    <font>
      <b val="true"/>
      <sz val="11"/>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59D"/>
        <bgColor rgb="FFFFF3CD"/>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4EDDA"/>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FF59D"/>
          <bgColor rgb="FF000000"/>
        </patternFill>
      </fill>
    </dxf>
    <dxf>
      <fill>
        <patternFill>
          <bgColor rgb="FFF8D7DA"/>
        </patternFill>
      </fill>
    </dxf>
    <dxf>
      <fill>
        <patternFill>
          <bgColor rgb="FFFFF3CD"/>
        </patternFill>
      </fill>
    </dxf>
    <dxf>
      <fill>
        <patternFill>
          <bgColor rgb="FFD4ED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4EDDA"/>
      <rgbColor rgb="FFFFF59D"/>
      <rgbColor rgb="FF99CCFF"/>
      <rgbColor rgb="FFFF99CC"/>
      <rgbColor rgb="FFCC99FF"/>
      <rgbColor rgb="FFF8D7DA"/>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6.8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39.5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15" hidden="false" customHeight="false" outlineLevel="0" collapsed="false">
      <c r="A14" s="2" t="s">
        <v>10</v>
      </c>
    </row>
    <row r="15" customFormat="false" ht="15" hidden="false" customHeight="false" outlineLevel="0" collapsed="false">
      <c r="A15" s="2" t="s">
        <v>11</v>
      </c>
    </row>
    <row r="16" customFormat="false" ht="26.8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3" t="s">
        <v>13</v>
      </c>
    </row>
    <row r="19" customFormat="false" ht="15" hidden="false" customHeight="false" outlineLevel="0" collapsed="false">
      <c r="A19" s="2" t="s">
        <v>14</v>
      </c>
    </row>
    <row r="20" customFormat="false" ht="15" hidden="false" customHeight="false" outlineLevel="0" collapsed="false">
      <c r="A20" s="2" t="s">
        <v>15</v>
      </c>
    </row>
    <row r="21" customFormat="false" ht="15" hidden="false" customHeight="false" outlineLevel="0" collapsed="false">
      <c r="A21" s="2"/>
    </row>
    <row r="22" customFormat="false" ht="15" hidden="false" customHeight="false" outlineLevel="0" collapsed="false">
      <c r="A22" s="3" t="s">
        <v>16</v>
      </c>
    </row>
    <row r="23" customFormat="false" ht="26.85" hidden="false" customHeight="false" outlineLevel="0" collapsed="false">
      <c r="A23"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0"/>
    <col collapsed="false" customWidth="true" hidden="false" outlineLevel="0" max="4" min="4" style="0" width="11"/>
    <col collapsed="false" customWidth="true" hidden="false" outlineLevel="0" max="5" min="5" style="0" width="13"/>
    <col collapsed="false" customWidth="true" hidden="false" outlineLevel="0" max="6" min="6" style="0" width="14"/>
    <col collapsed="false" customWidth="true" hidden="false" outlineLevel="0" max="7" min="7" style="0" width="12"/>
  </cols>
  <sheetData>
    <row r="1" customFormat="false" ht="15" hidden="false" customHeight="false" outlineLevel="0" collapsed="false">
      <c r="A1" s="4" t="s">
        <v>18</v>
      </c>
      <c r="B1" s="4" t="s">
        <v>19</v>
      </c>
      <c r="C1" s="4" t="s">
        <v>20</v>
      </c>
      <c r="D1" s="4" t="s">
        <v>21</v>
      </c>
      <c r="E1" s="4" t="s">
        <v>22</v>
      </c>
      <c r="F1" s="4" t="s">
        <v>23</v>
      </c>
      <c r="G1" s="4" t="s">
        <v>24</v>
      </c>
    </row>
    <row r="2" customFormat="false" ht="15" hidden="false" customHeight="false" outlineLevel="0" collapsed="false">
      <c r="A2" s="5" t="s">
        <v>25</v>
      </c>
      <c r="B2" s="5" t="n">
        <f aca="false">COUNTIFS('Clause Bank'!$B$2:$B$61,A2,'Clause Bank'!$C$2:$C$61,"problem")</f>
        <v>5</v>
      </c>
      <c r="C2" s="5" t="n">
        <f aca="false">COUNTIFS('Clause Bank'!$B$2:$B$61,A2,'Clause Bank'!$C$2:$C$61,"fine")</f>
        <v>5</v>
      </c>
      <c r="D2" s="5" t="n">
        <f aca="false">COUNTIFS('Clause Bank'!$B$2:$B$61,A2,'Clause Bank'!$E$2:$E$61,"hard")</f>
        <v>4</v>
      </c>
      <c r="E2" s="5" t="n">
        <f aca="false">COUNTIFS('Clause Bank'!$B$2:$B$61,A2,'Clause Bank'!$I$2:$I$61,"yes")</f>
        <v>0</v>
      </c>
      <c r="F2" s="5" t="n">
        <f aca="false">B2+C2</f>
        <v>10</v>
      </c>
      <c r="G2" s="6" t="n">
        <f aca="false">IF(F2=0,0,E2/F2)</f>
        <v>0</v>
      </c>
    </row>
    <row r="3" customFormat="false" ht="15" hidden="false" customHeight="false" outlineLevel="0" collapsed="false">
      <c r="A3" s="5" t="s">
        <v>26</v>
      </c>
      <c r="B3" s="5" t="n">
        <f aca="false">COUNTIFS('Clause Bank'!$B$2:$B$61,A3,'Clause Bank'!$C$2:$C$61,"problem")</f>
        <v>5</v>
      </c>
      <c r="C3" s="5" t="n">
        <f aca="false">COUNTIFS('Clause Bank'!$B$2:$B$61,A3,'Clause Bank'!$C$2:$C$61,"fine")</f>
        <v>5</v>
      </c>
      <c r="D3" s="5" t="n">
        <f aca="false">COUNTIFS('Clause Bank'!$B$2:$B$61,A3,'Clause Bank'!$E$2:$E$61,"hard")</f>
        <v>4</v>
      </c>
      <c r="E3" s="5" t="n">
        <f aca="false">COUNTIFS('Clause Bank'!$B$2:$B$61,A3,'Clause Bank'!$I$2:$I$61,"yes")</f>
        <v>0</v>
      </c>
      <c r="F3" s="5" t="n">
        <f aca="false">B3+C3</f>
        <v>10</v>
      </c>
      <c r="G3" s="6" t="n">
        <f aca="false">IF(F3=0,0,E3/F3)</f>
        <v>0</v>
      </c>
    </row>
    <row r="4" customFormat="false" ht="15" hidden="false" customHeight="false" outlineLevel="0" collapsed="false">
      <c r="A4" s="5" t="s">
        <v>27</v>
      </c>
      <c r="B4" s="5" t="n">
        <f aca="false">COUNTIFS('Clause Bank'!$B$2:$B$61,A4,'Clause Bank'!$C$2:$C$61,"problem")</f>
        <v>5</v>
      </c>
      <c r="C4" s="5" t="n">
        <f aca="false">COUNTIFS('Clause Bank'!$B$2:$B$61,A4,'Clause Bank'!$C$2:$C$61,"fine")</f>
        <v>5</v>
      </c>
      <c r="D4" s="5" t="n">
        <f aca="false">COUNTIFS('Clause Bank'!$B$2:$B$61,A4,'Clause Bank'!$E$2:$E$61,"hard")</f>
        <v>4</v>
      </c>
      <c r="E4" s="5" t="n">
        <f aca="false">COUNTIFS('Clause Bank'!$B$2:$B$61,A4,'Clause Bank'!$I$2:$I$61,"yes")</f>
        <v>0</v>
      </c>
      <c r="F4" s="5" t="n">
        <f aca="false">B4+C4</f>
        <v>10</v>
      </c>
      <c r="G4" s="6" t="n">
        <f aca="false">IF(F4=0,0,E4/F4)</f>
        <v>0</v>
      </c>
    </row>
    <row r="5" customFormat="false" ht="15" hidden="false" customHeight="false" outlineLevel="0" collapsed="false">
      <c r="A5" s="5" t="s">
        <v>28</v>
      </c>
      <c r="B5" s="5" t="n">
        <f aca="false">COUNTIFS('Clause Bank'!$B$2:$B$61,A5,'Clause Bank'!$C$2:$C$61,"problem")</f>
        <v>5</v>
      </c>
      <c r="C5" s="5" t="n">
        <f aca="false">COUNTIFS('Clause Bank'!$B$2:$B$61,A5,'Clause Bank'!$C$2:$C$61,"fine")</f>
        <v>5</v>
      </c>
      <c r="D5" s="5" t="n">
        <f aca="false">COUNTIFS('Clause Bank'!$B$2:$B$61,A5,'Clause Bank'!$E$2:$E$61,"hard")</f>
        <v>4</v>
      </c>
      <c r="E5" s="5" t="n">
        <f aca="false">COUNTIFS('Clause Bank'!$B$2:$B$61,A5,'Clause Bank'!$I$2:$I$61,"yes")</f>
        <v>0</v>
      </c>
      <c r="F5" s="5" t="n">
        <f aca="false">B5+C5</f>
        <v>10</v>
      </c>
      <c r="G5" s="6" t="n">
        <f aca="false">IF(F5=0,0,E5/F5)</f>
        <v>0</v>
      </c>
    </row>
    <row r="6" customFormat="false" ht="15" hidden="false" customHeight="false" outlineLevel="0" collapsed="false">
      <c r="A6" s="5" t="s">
        <v>29</v>
      </c>
      <c r="B6" s="5" t="n">
        <f aca="false">COUNTIFS('Clause Bank'!$B$2:$B$61,A6,'Clause Bank'!$C$2:$C$61,"problem")</f>
        <v>5</v>
      </c>
      <c r="C6" s="5" t="n">
        <f aca="false">COUNTIFS('Clause Bank'!$B$2:$B$61,A6,'Clause Bank'!$C$2:$C$61,"fine")</f>
        <v>5</v>
      </c>
      <c r="D6" s="5" t="n">
        <f aca="false">COUNTIFS('Clause Bank'!$B$2:$B$61,A6,'Clause Bank'!$E$2:$E$61,"hard")</f>
        <v>4</v>
      </c>
      <c r="E6" s="5" t="n">
        <f aca="false">COUNTIFS('Clause Bank'!$B$2:$B$61,A6,'Clause Bank'!$I$2:$I$61,"yes")</f>
        <v>0</v>
      </c>
      <c r="F6" s="5" t="n">
        <f aca="false">B6+C6</f>
        <v>10</v>
      </c>
      <c r="G6" s="6" t="n">
        <f aca="false">IF(F6=0,0,E6/F6)</f>
        <v>0</v>
      </c>
    </row>
    <row r="7" customFormat="false" ht="15" hidden="false" customHeight="false" outlineLevel="0" collapsed="false">
      <c r="A7" s="5" t="s">
        <v>30</v>
      </c>
      <c r="B7" s="5" t="n">
        <f aca="false">COUNTIFS('Clause Bank'!$B$2:$B$61,A7,'Clause Bank'!$C$2:$C$61,"problem")</f>
        <v>5</v>
      </c>
      <c r="C7" s="5" t="n">
        <f aca="false">COUNTIFS('Clause Bank'!$B$2:$B$61,A7,'Clause Bank'!$C$2:$C$61,"fine")</f>
        <v>5</v>
      </c>
      <c r="D7" s="5" t="n">
        <f aca="false">COUNTIFS('Clause Bank'!$B$2:$B$61,A7,'Clause Bank'!$E$2:$E$61,"hard")</f>
        <v>4</v>
      </c>
      <c r="E7" s="5" t="n">
        <f aca="false">COUNTIFS('Clause Bank'!$B$2:$B$61,A7,'Clause Bank'!$I$2:$I$61,"yes")</f>
        <v>0</v>
      </c>
      <c r="F7" s="5" t="n">
        <f aca="false">B7+C7</f>
        <v>10</v>
      </c>
      <c r="G7" s="6" t="n">
        <f aca="false">IF(F7=0,0,E7/F7)</f>
        <v>0</v>
      </c>
    </row>
    <row r="8" customFormat="false" ht="15" hidden="false" customHeight="false" outlineLevel="0" collapsed="false">
      <c r="A8" s="7" t="s">
        <v>31</v>
      </c>
      <c r="B8" s="7" t="n">
        <f aca="false">SUM(B2:B7)</f>
        <v>30</v>
      </c>
      <c r="C8" s="7" t="n">
        <f aca="false">SUM(C2:C7)</f>
        <v>30</v>
      </c>
      <c r="D8" s="7" t="n">
        <f aca="false">SUM(D2:D7)</f>
        <v>24</v>
      </c>
      <c r="E8" s="7" t="n">
        <f aca="false">SUM(E2:E7)</f>
        <v>0</v>
      </c>
      <c r="F8" s="7" t="n">
        <f aca="false">SUM(F2:F7)</f>
        <v>60</v>
      </c>
      <c r="G8" s="8" t="n">
        <f aca="false">IF(F8=0,0,E8/F8)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70"/>
    <col collapsed="false" customWidth="true" hidden="false" outlineLevel="0" max="4" min="4" style="0" width="48"/>
    <col collapsed="false" customWidth="true" hidden="false" outlineLevel="0" max="5" min="5" style="0" width="16"/>
  </cols>
  <sheetData>
    <row r="1" customFormat="false" ht="15" hidden="false" customHeight="false" outlineLevel="0" collapsed="false">
      <c r="A1" s="4" t="s">
        <v>18</v>
      </c>
      <c r="B1" s="4" t="s">
        <v>32</v>
      </c>
      <c r="C1" s="4" t="s">
        <v>33</v>
      </c>
      <c r="D1" s="4" t="s">
        <v>34</v>
      </c>
      <c r="E1" s="4" t="s">
        <v>35</v>
      </c>
    </row>
    <row r="2" customFormat="false" ht="26.85" hidden="false" customHeight="false" outlineLevel="0" collapsed="false">
      <c r="A2" s="9" t="s">
        <v>25</v>
      </c>
      <c r="B2" s="9" t="s">
        <v>36</v>
      </c>
      <c r="C2" s="9" t="s">
        <v>37</v>
      </c>
      <c r="D2" s="9" t="s">
        <v>38</v>
      </c>
      <c r="E2" s="9" t="s">
        <v>39</v>
      </c>
    </row>
    <row r="3" customFormat="false" ht="52.2" hidden="false" customHeight="false" outlineLevel="0" collapsed="false">
      <c r="A3" s="9" t="s">
        <v>26</v>
      </c>
      <c r="B3" s="9" t="s">
        <v>40</v>
      </c>
      <c r="C3" s="9" t="s">
        <v>41</v>
      </c>
      <c r="D3" s="9" t="s">
        <v>42</v>
      </c>
      <c r="E3" s="9" t="s">
        <v>43</v>
      </c>
    </row>
    <row r="4" customFormat="false" ht="39.55" hidden="false" customHeight="false" outlineLevel="0" collapsed="false">
      <c r="A4" s="9" t="s">
        <v>27</v>
      </c>
      <c r="B4" s="9" t="s">
        <v>44</v>
      </c>
      <c r="C4" s="9" t="s">
        <v>45</v>
      </c>
      <c r="D4" s="9" t="s">
        <v>46</v>
      </c>
      <c r="E4" s="9" t="s">
        <v>39</v>
      </c>
    </row>
    <row r="5" customFormat="false" ht="26.85" hidden="false" customHeight="false" outlineLevel="0" collapsed="false">
      <c r="A5" s="9" t="s">
        <v>28</v>
      </c>
      <c r="B5" s="9" t="s">
        <v>47</v>
      </c>
      <c r="C5" s="9" t="s">
        <v>48</v>
      </c>
      <c r="D5" s="9" t="s">
        <v>49</v>
      </c>
      <c r="E5" s="9" t="s">
        <v>50</v>
      </c>
    </row>
    <row r="6" customFormat="false" ht="39.55" hidden="false" customHeight="false" outlineLevel="0" collapsed="false">
      <c r="A6" s="9" t="s">
        <v>29</v>
      </c>
      <c r="B6" s="9" t="s">
        <v>51</v>
      </c>
      <c r="C6" s="9" t="s">
        <v>52</v>
      </c>
      <c r="D6" s="9" t="s">
        <v>53</v>
      </c>
      <c r="E6" s="9" t="s">
        <v>50</v>
      </c>
    </row>
    <row r="7" customFormat="false" ht="26.85" hidden="false" customHeight="false" outlineLevel="0" collapsed="false">
      <c r="A7" s="9" t="s">
        <v>30</v>
      </c>
      <c r="B7" s="9" t="s">
        <v>54</v>
      </c>
      <c r="C7" s="9" t="s">
        <v>55</v>
      </c>
      <c r="D7" s="9" t="s">
        <v>56</v>
      </c>
      <c r="E7" s="9"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4" min="3" style="0" width="10"/>
    <col collapsed="false" customWidth="true" hidden="false" outlineLevel="0" max="5" min="5" style="0" width="11"/>
    <col collapsed="false" customWidth="true" hidden="false" outlineLevel="0" max="6" min="6" style="0" width="70"/>
    <col collapsed="false" customWidth="true" hidden="false" outlineLevel="0" max="7" min="7" style="0" width="50"/>
    <col collapsed="false" customWidth="true" hidden="false" outlineLevel="0" max="8" min="8" style="0" width="34"/>
    <col collapsed="false" customWidth="true" hidden="false" outlineLevel="0" max="9" min="9" style="0" width="11"/>
    <col collapsed="false" customWidth="true" hidden="false" outlineLevel="0" max="10" min="10" style="0" width="50"/>
    <col collapsed="false" customWidth="true" hidden="false" outlineLevel="0" max="11" min="11" style="0" width="30"/>
  </cols>
  <sheetData>
    <row r="1" customFormat="false" ht="15" hidden="false" customHeight="false" outlineLevel="0" collapsed="false">
      <c r="A1" s="4" t="s">
        <v>58</v>
      </c>
      <c r="B1" s="4" t="s">
        <v>18</v>
      </c>
      <c r="C1" s="4" t="s">
        <v>59</v>
      </c>
      <c r="D1" s="4" t="s">
        <v>60</v>
      </c>
      <c r="E1" s="4" t="s">
        <v>61</v>
      </c>
      <c r="F1" s="4" t="s">
        <v>62</v>
      </c>
      <c r="G1" s="4" t="s">
        <v>63</v>
      </c>
      <c r="H1" s="4" t="s">
        <v>34</v>
      </c>
      <c r="I1" s="4" t="s">
        <v>64</v>
      </c>
      <c r="J1" s="4" t="s">
        <v>65</v>
      </c>
      <c r="K1" s="4" t="s">
        <v>66</v>
      </c>
    </row>
    <row r="2" customFormat="false" ht="39.55" hidden="false" customHeight="false" outlineLevel="0" collapsed="false">
      <c r="A2" s="9" t="s">
        <v>67</v>
      </c>
      <c r="B2" s="9" t="s">
        <v>25</v>
      </c>
      <c r="C2" s="9" t="s">
        <v>19</v>
      </c>
      <c r="D2" s="9" t="s">
        <v>39</v>
      </c>
      <c r="E2" s="9" t="s">
        <v>68</v>
      </c>
      <c r="F2" s="9" t="s">
        <v>69</v>
      </c>
      <c r="G2" s="9" t="s">
        <v>70</v>
      </c>
      <c r="H2" s="9" t="s">
        <v>38</v>
      </c>
      <c r="I2" s="10"/>
      <c r="J2" s="10"/>
      <c r="K2" s="10"/>
    </row>
    <row r="3" customFormat="false" ht="39.55" hidden="false" customHeight="false" outlineLevel="0" collapsed="false">
      <c r="A3" s="9" t="s">
        <v>71</v>
      </c>
      <c r="B3" s="9" t="s">
        <v>25</v>
      </c>
      <c r="C3" s="9" t="s">
        <v>19</v>
      </c>
      <c r="D3" s="9" t="s">
        <v>39</v>
      </c>
      <c r="E3" s="9" t="s">
        <v>68</v>
      </c>
      <c r="F3" s="9" t="s">
        <v>72</v>
      </c>
      <c r="G3" s="9" t="s">
        <v>73</v>
      </c>
      <c r="H3" s="9" t="s">
        <v>38</v>
      </c>
      <c r="I3" s="10"/>
      <c r="J3" s="10"/>
      <c r="K3" s="10"/>
    </row>
    <row r="4" customFormat="false" ht="39.55" hidden="false" customHeight="false" outlineLevel="0" collapsed="false">
      <c r="A4" s="9" t="s">
        <v>74</v>
      </c>
      <c r="B4" s="9" t="s">
        <v>25</v>
      </c>
      <c r="C4" s="9" t="s">
        <v>19</v>
      </c>
      <c r="D4" s="9" t="s">
        <v>39</v>
      </c>
      <c r="E4" s="9" t="s">
        <v>68</v>
      </c>
      <c r="F4" s="9" t="s">
        <v>75</v>
      </c>
      <c r="G4" s="9" t="s">
        <v>76</v>
      </c>
      <c r="H4" s="9" t="s">
        <v>38</v>
      </c>
      <c r="I4" s="10"/>
      <c r="J4" s="10"/>
      <c r="K4" s="10"/>
    </row>
    <row r="5" customFormat="false" ht="39.55" hidden="false" customHeight="false" outlineLevel="0" collapsed="false">
      <c r="A5" s="9" t="s">
        <v>77</v>
      </c>
      <c r="B5" s="9" t="s">
        <v>25</v>
      </c>
      <c r="C5" s="9" t="s">
        <v>19</v>
      </c>
      <c r="D5" s="9" t="s">
        <v>39</v>
      </c>
      <c r="E5" s="9" t="s">
        <v>78</v>
      </c>
      <c r="F5" s="9" t="s">
        <v>79</v>
      </c>
      <c r="G5" s="9" t="s">
        <v>80</v>
      </c>
      <c r="H5" s="9" t="s">
        <v>38</v>
      </c>
      <c r="I5" s="10"/>
      <c r="J5" s="10"/>
      <c r="K5" s="10"/>
    </row>
    <row r="6" customFormat="false" ht="39.55" hidden="false" customHeight="false" outlineLevel="0" collapsed="false">
      <c r="A6" s="9" t="s">
        <v>81</v>
      </c>
      <c r="B6" s="9" t="s">
        <v>25</v>
      </c>
      <c r="C6" s="9" t="s">
        <v>19</v>
      </c>
      <c r="D6" s="9" t="s">
        <v>39</v>
      </c>
      <c r="E6" s="9" t="s">
        <v>78</v>
      </c>
      <c r="F6" s="9" t="s">
        <v>82</v>
      </c>
      <c r="G6" s="9" t="s">
        <v>83</v>
      </c>
      <c r="H6" s="9" t="s">
        <v>38</v>
      </c>
      <c r="I6" s="10"/>
      <c r="J6" s="10"/>
      <c r="K6" s="10"/>
    </row>
    <row r="7" customFormat="false" ht="39.55" hidden="false" customHeight="false" outlineLevel="0" collapsed="false">
      <c r="A7" s="9" t="s">
        <v>84</v>
      </c>
      <c r="B7" s="9" t="s">
        <v>25</v>
      </c>
      <c r="C7" s="9" t="s">
        <v>20</v>
      </c>
      <c r="D7" s="9" t="s">
        <v>85</v>
      </c>
      <c r="E7" s="9" t="s">
        <v>68</v>
      </c>
      <c r="F7" s="9" t="s">
        <v>86</v>
      </c>
      <c r="G7" s="9" t="s">
        <v>87</v>
      </c>
      <c r="H7" s="9" t="s">
        <v>38</v>
      </c>
      <c r="I7" s="10"/>
      <c r="J7" s="10"/>
      <c r="K7" s="10"/>
    </row>
    <row r="8" customFormat="false" ht="39.55" hidden="false" customHeight="false" outlineLevel="0" collapsed="false">
      <c r="A8" s="9" t="s">
        <v>88</v>
      </c>
      <c r="B8" s="9" t="s">
        <v>25</v>
      </c>
      <c r="C8" s="9" t="s">
        <v>20</v>
      </c>
      <c r="D8" s="9" t="s">
        <v>85</v>
      </c>
      <c r="E8" s="9" t="s">
        <v>68</v>
      </c>
      <c r="F8" s="9" t="s">
        <v>89</v>
      </c>
      <c r="G8" s="9" t="s">
        <v>90</v>
      </c>
      <c r="H8" s="9" t="s">
        <v>38</v>
      </c>
      <c r="I8" s="10"/>
      <c r="J8" s="10"/>
      <c r="K8" s="10"/>
    </row>
    <row r="9" customFormat="false" ht="39.55" hidden="false" customHeight="false" outlineLevel="0" collapsed="false">
      <c r="A9" s="9" t="s">
        <v>91</v>
      </c>
      <c r="B9" s="9" t="s">
        <v>25</v>
      </c>
      <c r="C9" s="9" t="s">
        <v>20</v>
      </c>
      <c r="D9" s="9" t="s">
        <v>85</v>
      </c>
      <c r="E9" s="9" t="s">
        <v>68</v>
      </c>
      <c r="F9" s="9" t="s">
        <v>92</v>
      </c>
      <c r="G9" s="9" t="s">
        <v>93</v>
      </c>
      <c r="H9" s="9" t="s">
        <v>38</v>
      </c>
      <c r="I9" s="10"/>
      <c r="J9" s="10"/>
      <c r="K9" s="10"/>
    </row>
    <row r="10" customFormat="false" ht="39.55" hidden="false" customHeight="false" outlineLevel="0" collapsed="false">
      <c r="A10" s="9" t="s">
        <v>94</v>
      </c>
      <c r="B10" s="9" t="s">
        <v>25</v>
      </c>
      <c r="C10" s="9" t="s">
        <v>20</v>
      </c>
      <c r="D10" s="9" t="s">
        <v>85</v>
      </c>
      <c r="E10" s="9" t="s">
        <v>78</v>
      </c>
      <c r="F10" s="9" t="s">
        <v>95</v>
      </c>
      <c r="G10" s="9" t="s">
        <v>96</v>
      </c>
      <c r="H10" s="9" t="s">
        <v>38</v>
      </c>
      <c r="I10" s="10"/>
      <c r="J10" s="10"/>
      <c r="K10" s="10"/>
    </row>
    <row r="11" customFormat="false" ht="39.55" hidden="false" customHeight="false" outlineLevel="0" collapsed="false">
      <c r="A11" s="9" t="s">
        <v>97</v>
      </c>
      <c r="B11" s="9" t="s">
        <v>25</v>
      </c>
      <c r="C11" s="9" t="s">
        <v>20</v>
      </c>
      <c r="D11" s="9" t="s">
        <v>85</v>
      </c>
      <c r="E11" s="9" t="s">
        <v>78</v>
      </c>
      <c r="F11" s="9" t="s">
        <v>98</v>
      </c>
      <c r="G11" s="9" t="s">
        <v>99</v>
      </c>
      <c r="H11" s="9" t="s">
        <v>38</v>
      </c>
      <c r="I11" s="10"/>
      <c r="J11" s="10"/>
      <c r="K11" s="10"/>
    </row>
    <row r="12" customFormat="false" ht="39.55" hidden="false" customHeight="false" outlineLevel="0" collapsed="false">
      <c r="A12" s="9" t="s">
        <v>100</v>
      </c>
      <c r="B12" s="9" t="s">
        <v>26</v>
      </c>
      <c r="C12" s="9" t="s">
        <v>19</v>
      </c>
      <c r="D12" s="9" t="s">
        <v>50</v>
      </c>
      <c r="E12" s="9" t="s">
        <v>68</v>
      </c>
      <c r="F12" s="9" t="s">
        <v>101</v>
      </c>
      <c r="G12" s="9" t="s">
        <v>102</v>
      </c>
      <c r="H12" s="9" t="s">
        <v>42</v>
      </c>
      <c r="I12" s="10"/>
      <c r="J12" s="10"/>
      <c r="K12" s="10"/>
    </row>
    <row r="13" customFormat="false" ht="39.55" hidden="false" customHeight="false" outlineLevel="0" collapsed="false">
      <c r="A13" s="9" t="s">
        <v>103</v>
      </c>
      <c r="B13" s="9" t="s">
        <v>26</v>
      </c>
      <c r="C13" s="9" t="s">
        <v>19</v>
      </c>
      <c r="D13" s="9" t="s">
        <v>50</v>
      </c>
      <c r="E13" s="9" t="s">
        <v>68</v>
      </c>
      <c r="F13" s="9" t="s">
        <v>104</v>
      </c>
      <c r="G13" s="9" t="s">
        <v>105</v>
      </c>
      <c r="H13" s="9" t="s">
        <v>42</v>
      </c>
      <c r="I13" s="10"/>
      <c r="J13" s="10"/>
      <c r="K13" s="10"/>
    </row>
    <row r="14" customFormat="false" ht="26.85" hidden="false" customHeight="false" outlineLevel="0" collapsed="false">
      <c r="A14" s="9" t="s">
        <v>106</v>
      </c>
      <c r="B14" s="9" t="s">
        <v>26</v>
      </c>
      <c r="C14" s="9" t="s">
        <v>19</v>
      </c>
      <c r="D14" s="9" t="s">
        <v>39</v>
      </c>
      <c r="E14" s="9" t="s">
        <v>68</v>
      </c>
      <c r="F14" s="9" t="s">
        <v>107</v>
      </c>
      <c r="G14" s="9" t="s">
        <v>108</v>
      </c>
      <c r="H14" s="9" t="s">
        <v>42</v>
      </c>
      <c r="I14" s="10"/>
      <c r="J14" s="10"/>
      <c r="K14" s="10"/>
    </row>
    <row r="15" customFormat="false" ht="26.85" hidden="false" customHeight="false" outlineLevel="0" collapsed="false">
      <c r="A15" s="9" t="s">
        <v>109</v>
      </c>
      <c r="B15" s="9" t="s">
        <v>26</v>
      </c>
      <c r="C15" s="9" t="s">
        <v>19</v>
      </c>
      <c r="D15" s="9" t="s">
        <v>50</v>
      </c>
      <c r="E15" s="9" t="s">
        <v>78</v>
      </c>
      <c r="F15" s="9" t="s">
        <v>110</v>
      </c>
      <c r="G15" s="9" t="s">
        <v>111</v>
      </c>
      <c r="H15" s="9" t="s">
        <v>42</v>
      </c>
      <c r="I15" s="10"/>
      <c r="J15" s="10"/>
      <c r="K15" s="10"/>
    </row>
    <row r="16" customFormat="false" ht="26.85" hidden="false" customHeight="false" outlineLevel="0" collapsed="false">
      <c r="A16" s="9" t="s">
        <v>112</v>
      </c>
      <c r="B16" s="9" t="s">
        <v>26</v>
      </c>
      <c r="C16" s="9" t="s">
        <v>19</v>
      </c>
      <c r="D16" s="9" t="s">
        <v>39</v>
      </c>
      <c r="E16" s="9" t="s">
        <v>78</v>
      </c>
      <c r="F16" s="9" t="s">
        <v>113</v>
      </c>
      <c r="G16" s="9" t="s">
        <v>114</v>
      </c>
      <c r="H16" s="9" t="s">
        <v>42</v>
      </c>
      <c r="I16" s="10"/>
      <c r="J16" s="10"/>
      <c r="K16" s="10"/>
    </row>
    <row r="17" customFormat="false" ht="26.85" hidden="false" customHeight="false" outlineLevel="0" collapsed="false">
      <c r="A17" s="9" t="s">
        <v>115</v>
      </c>
      <c r="B17" s="9" t="s">
        <v>26</v>
      </c>
      <c r="C17" s="9" t="s">
        <v>20</v>
      </c>
      <c r="D17" s="9" t="s">
        <v>85</v>
      </c>
      <c r="E17" s="9" t="s">
        <v>68</v>
      </c>
      <c r="F17" s="9" t="s">
        <v>116</v>
      </c>
      <c r="G17" s="9" t="s">
        <v>117</v>
      </c>
      <c r="H17" s="9" t="s">
        <v>42</v>
      </c>
      <c r="I17" s="10"/>
      <c r="J17" s="10"/>
      <c r="K17" s="10"/>
    </row>
    <row r="18" customFormat="false" ht="26.85" hidden="false" customHeight="false" outlineLevel="0" collapsed="false">
      <c r="A18" s="9" t="s">
        <v>118</v>
      </c>
      <c r="B18" s="9" t="s">
        <v>26</v>
      </c>
      <c r="C18" s="9" t="s">
        <v>20</v>
      </c>
      <c r="D18" s="9" t="s">
        <v>85</v>
      </c>
      <c r="E18" s="9" t="s">
        <v>68</v>
      </c>
      <c r="F18" s="9" t="s">
        <v>119</v>
      </c>
      <c r="G18" s="9" t="s">
        <v>120</v>
      </c>
      <c r="H18" s="9" t="s">
        <v>42</v>
      </c>
      <c r="I18" s="10"/>
      <c r="J18" s="10"/>
      <c r="K18" s="10"/>
    </row>
    <row r="19" customFormat="false" ht="26.85" hidden="false" customHeight="false" outlineLevel="0" collapsed="false">
      <c r="A19" s="9" t="s">
        <v>121</v>
      </c>
      <c r="B19" s="9" t="s">
        <v>26</v>
      </c>
      <c r="C19" s="9" t="s">
        <v>20</v>
      </c>
      <c r="D19" s="9" t="s">
        <v>85</v>
      </c>
      <c r="E19" s="9" t="s">
        <v>68</v>
      </c>
      <c r="F19" s="9" t="s">
        <v>122</v>
      </c>
      <c r="G19" s="9" t="s">
        <v>123</v>
      </c>
      <c r="H19" s="9" t="s">
        <v>42</v>
      </c>
      <c r="I19" s="10"/>
      <c r="J19" s="10"/>
      <c r="K19" s="10"/>
    </row>
    <row r="20" customFormat="false" ht="39.55" hidden="false" customHeight="false" outlineLevel="0" collapsed="false">
      <c r="A20" s="9" t="s">
        <v>124</v>
      </c>
      <c r="B20" s="9" t="s">
        <v>26</v>
      </c>
      <c r="C20" s="9" t="s">
        <v>20</v>
      </c>
      <c r="D20" s="9" t="s">
        <v>85</v>
      </c>
      <c r="E20" s="9" t="s">
        <v>78</v>
      </c>
      <c r="F20" s="9" t="s">
        <v>125</v>
      </c>
      <c r="G20" s="9" t="s">
        <v>126</v>
      </c>
      <c r="H20" s="9" t="s">
        <v>42</v>
      </c>
      <c r="I20" s="10"/>
      <c r="J20" s="10"/>
      <c r="K20" s="10"/>
    </row>
    <row r="21" customFormat="false" ht="26.85" hidden="false" customHeight="false" outlineLevel="0" collapsed="false">
      <c r="A21" s="9" t="s">
        <v>127</v>
      </c>
      <c r="B21" s="9" t="s">
        <v>26</v>
      </c>
      <c r="C21" s="9" t="s">
        <v>20</v>
      </c>
      <c r="D21" s="9" t="s">
        <v>85</v>
      </c>
      <c r="E21" s="9" t="s">
        <v>78</v>
      </c>
      <c r="F21" s="9" t="s">
        <v>128</v>
      </c>
      <c r="G21" s="9" t="s">
        <v>129</v>
      </c>
      <c r="H21" s="9" t="s">
        <v>42</v>
      </c>
      <c r="I21" s="10"/>
      <c r="J21" s="10"/>
      <c r="K21" s="10"/>
    </row>
    <row r="22" customFormat="false" ht="26.85" hidden="false" customHeight="false" outlineLevel="0" collapsed="false">
      <c r="A22" s="9" t="s">
        <v>130</v>
      </c>
      <c r="B22" s="9" t="s">
        <v>27</v>
      </c>
      <c r="C22" s="9" t="s">
        <v>19</v>
      </c>
      <c r="D22" s="9" t="s">
        <v>39</v>
      </c>
      <c r="E22" s="9" t="s">
        <v>68</v>
      </c>
      <c r="F22" s="9" t="s">
        <v>131</v>
      </c>
      <c r="G22" s="9" t="s">
        <v>132</v>
      </c>
      <c r="H22" s="9" t="s">
        <v>46</v>
      </c>
      <c r="I22" s="10"/>
      <c r="J22" s="10"/>
      <c r="K22" s="10"/>
    </row>
    <row r="23" customFormat="false" ht="52.2" hidden="false" customHeight="false" outlineLevel="0" collapsed="false">
      <c r="A23" s="9" t="s">
        <v>133</v>
      </c>
      <c r="B23" s="9" t="s">
        <v>27</v>
      </c>
      <c r="C23" s="9" t="s">
        <v>19</v>
      </c>
      <c r="D23" s="9" t="s">
        <v>39</v>
      </c>
      <c r="E23" s="9" t="s">
        <v>68</v>
      </c>
      <c r="F23" s="9" t="s">
        <v>134</v>
      </c>
      <c r="G23" s="9" t="s">
        <v>135</v>
      </c>
      <c r="H23" s="9" t="s">
        <v>136</v>
      </c>
      <c r="I23" s="10"/>
      <c r="J23" s="10"/>
      <c r="K23" s="10"/>
    </row>
    <row r="24" customFormat="false" ht="26.85" hidden="false" customHeight="false" outlineLevel="0" collapsed="false">
      <c r="A24" s="9" t="s">
        <v>137</v>
      </c>
      <c r="B24" s="9" t="s">
        <v>27</v>
      </c>
      <c r="C24" s="9" t="s">
        <v>19</v>
      </c>
      <c r="D24" s="9" t="s">
        <v>39</v>
      </c>
      <c r="E24" s="9" t="s">
        <v>68</v>
      </c>
      <c r="F24" s="9" t="s">
        <v>138</v>
      </c>
      <c r="G24" s="9" t="s">
        <v>139</v>
      </c>
      <c r="H24" s="9" t="s">
        <v>46</v>
      </c>
      <c r="I24" s="10"/>
      <c r="J24" s="10"/>
      <c r="K24" s="10"/>
    </row>
    <row r="25" customFormat="false" ht="26.85" hidden="false" customHeight="false" outlineLevel="0" collapsed="false">
      <c r="A25" s="9" t="s">
        <v>140</v>
      </c>
      <c r="B25" s="9" t="s">
        <v>27</v>
      </c>
      <c r="C25" s="9" t="s">
        <v>19</v>
      </c>
      <c r="D25" s="9" t="s">
        <v>39</v>
      </c>
      <c r="E25" s="9" t="s">
        <v>78</v>
      </c>
      <c r="F25" s="9" t="s">
        <v>141</v>
      </c>
      <c r="G25" s="9" t="s">
        <v>142</v>
      </c>
      <c r="H25" s="9" t="s">
        <v>46</v>
      </c>
      <c r="I25" s="10"/>
      <c r="J25" s="10"/>
      <c r="K25" s="10"/>
    </row>
    <row r="26" customFormat="false" ht="39.55" hidden="false" customHeight="false" outlineLevel="0" collapsed="false">
      <c r="A26" s="9" t="s">
        <v>143</v>
      </c>
      <c r="B26" s="9" t="s">
        <v>27</v>
      </c>
      <c r="C26" s="9" t="s">
        <v>19</v>
      </c>
      <c r="D26" s="9" t="s">
        <v>39</v>
      </c>
      <c r="E26" s="9" t="s">
        <v>78</v>
      </c>
      <c r="F26" s="9" t="s">
        <v>144</v>
      </c>
      <c r="G26" s="9" t="s">
        <v>145</v>
      </c>
      <c r="H26" s="9" t="s">
        <v>46</v>
      </c>
      <c r="I26" s="10"/>
      <c r="J26" s="10"/>
      <c r="K26" s="10"/>
    </row>
    <row r="27" customFormat="false" ht="26.85" hidden="false" customHeight="false" outlineLevel="0" collapsed="false">
      <c r="A27" s="9" t="s">
        <v>146</v>
      </c>
      <c r="B27" s="9" t="s">
        <v>27</v>
      </c>
      <c r="C27" s="9" t="s">
        <v>20</v>
      </c>
      <c r="D27" s="9" t="s">
        <v>85</v>
      </c>
      <c r="E27" s="9" t="s">
        <v>68</v>
      </c>
      <c r="F27" s="9" t="s">
        <v>147</v>
      </c>
      <c r="G27" s="9" t="s">
        <v>148</v>
      </c>
      <c r="H27" s="9" t="s">
        <v>46</v>
      </c>
      <c r="I27" s="10"/>
      <c r="J27" s="10"/>
      <c r="K27" s="10"/>
    </row>
    <row r="28" customFormat="false" ht="26.85" hidden="false" customHeight="false" outlineLevel="0" collapsed="false">
      <c r="A28" s="9" t="s">
        <v>149</v>
      </c>
      <c r="B28" s="9" t="s">
        <v>27</v>
      </c>
      <c r="C28" s="9" t="s">
        <v>20</v>
      </c>
      <c r="D28" s="9" t="s">
        <v>85</v>
      </c>
      <c r="E28" s="9" t="s">
        <v>68</v>
      </c>
      <c r="F28" s="9" t="s">
        <v>150</v>
      </c>
      <c r="G28" s="9" t="s">
        <v>151</v>
      </c>
      <c r="H28" s="9" t="s">
        <v>152</v>
      </c>
      <c r="I28" s="10"/>
      <c r="J28" s="10"/>
      <c r="K28" s="10"/>
    </row>
    <row r="29" customFormat="false" ht="39.55" hidden="false" customHeight="false" outlineLevel="0" collapsed="false">
      <c r="A29" s="9" t="s">
        <v>153</v>
      </c>
      <c r="B29" s="9" t="s">
        <v>27</v>
      </c>
      <c r="C29" s="9" t="s">
        <v>20</v>
      </c>
      <c r="D29" s="9" t="s">
        <v>85</v>
      </c>
      <c r="E29" s="9" t="s">
        <v>68</v>
      </c>
      <c r="F29" s="9" t="s">
        <v>154</v>
      </c>
      <c r="G29" s="9" t="s">
        <v>155</v>
      </c>
      <c r="H29" s="9" t="s">
        <v>46</v>
      </c>
      <c r="I29" s="10"/>
      <c r="J29" s="10"/>
      <c r="K29" s="10"/>
    </row>
    <row r="30" customFormat="false" ht="26.85" hidden="false" customHeight="false" outlineLevel="0" collapsed="false">
      <c r="A30" s="9" t="s">
        <v>156</v>
      </c>
      <c r="B30" s="9" t="s">
        <v>27</v>
      </c>
      <c r="C30" s="9" t="s">
        <v>20</v>
      </c>
      <c r="D30" s="9" t="s">
        <v>85</v>
      </c>
      <c r="E30" s="9" t="s">
        <v>78</v>
      </c>
      <c r="F30" s="9" t="s">
        <v>157</v>
      </c>
      <c r="G30" s="9" t="s">
        <v>158</v>
      </c>
      <c r="H30" s="9" t="s">
        <v>46</v>
      </c>
      <c r="I30" s="10"/>
      <c r="J30" s="10"/>
      <c r="K30" s="10"/>
    </row>
    <row r="31" customFormat="false" ht="26.85" hidden="false" customHeight="false" outlineLevel="0" collapsed="false">
      <c r="A31" s="9" t="s">
        <v>159</v>
      </c>
      <c r="B31" s="9" t="s">
        <v>27</v>
      </c>
      <c r="C31" s="9" t="s">
        <v>20</v>
      </c>
      <c r="D31" s="9" t="s">
        <v>85</v>
      </c>
      <c r="E31" s="9" t="s">
        <v>78</v>
      </c>
      <c r="F31" s="9" t="s">
        <v>160</v>
      </c>
      <c r="G31" s="9" t="s">
        <v>161</v>
      </c>
      <c r="H31" s="9" t="s">
        <v>46</v>
      </c>
      <c r="I31" s="10"/>
      <c r="J31" s="10"/>
      <c r="K31" s="10"/>
    </row>
    <row r="32" customFormat="false" ht="39.55" hidden="false" customHeight="false" outlineLevel="0" collapsed="false">
      <c r="A32" s="9" t="s">
        <v>162</v>
      </c>
      <c r="B32" s="9" t="s">
        <v>28</v>
      </c>
      <c r="C32" s="9" t="s">
        <v>19</v>
      </c>
      <c r="D32" s="9" t="s">
        <v>50</v>
      </c>
      <c r="E32" s="9" t="s">
        <v>68</v>
      </c>
      <c r="F32" s="9" t="s">
        <v>163</v>
      </c>
      <c r="G32" s="9" t="s">
        <v>164</v>
      </c>
      <c r="H32" s="9" t="s">
        <v>49</v>
      </c>
      <c r="I32" s="10"/>
      <c r="J32" s="10"/>
      <c r="K32" s="10"/>
    </row>
    <row r="33" customFormat="false" ht="39.55" hidden="false" customHeight="false" outlineLevel="0" collapsed="false">
      <c r="A33" s="9" t="s">
        <v>165</v>
      </c>
      <c r="B33" s="9" t="s">
        <v>28</v>
      </c>
      <c r="C33" s="9" t="s">
        <v>19</v>
      </c>
      <c r="D33" s="9" t="s">
        <v>50</v>
      </c>
      <c r="E33" s="9" t="s">
        <v>68</v>
      </c>
      <c r="F33" s="9" t="s">
        <v>166</v>
      </c>
      <c r="G33" s="9" t="s">
        <v>167</v>
      </c>
      <c r="H33" s="9" t="s">
        <v>49</v>
      </c>
      <c r="I33" s="10"/>
      <c r="J33" s="10"/>
      <c r="K33" s="10"/>
    </row>
    <row r="34" customFormat="false" ht="39.55" hidden="false" customHeight="false" outlineLevel="0" collapsed="false">
      <c r="A34" s="9" t="s">
        <v>168</v>
      </c>
      <c r="B34" s="9" t="s">
        <v>28</v>
      </c>
      <c r="C34" s="9" t="s">
        <v>19</v>
      </c>
      <c r="D34" s="9" t="s">
        <v>50</v>
      </c>
      <c r="E34" s="9" t="s">
        <v>68</v>
      </c>
      <c r="F34" s="9" t="s">
        <v>169</v>
      </c>
      <c r="G34" s="9" t="s">
        <v>170</v>
      </c>
      <c r="H34" s="9" t="s">
        <v>49</v>
      </c>
      <c r="I34" s="10"/>
      <c r="J34" s="10"/>
      <c r="K34" s="10"/>
    </row>
    <row r="35" customFormat="false" ht="39.55" hidden="false" customHeight="false" outlineLevel="0" collapsed="false">
      <c r="A35" s="9" t="s">
        <v>171</v>
      </c>
      <c r="B35" s="9" t="s">
        <v>28</v>
      </c>
      <c r="C35" s="9" t="s">
        <v>19</v>
      </c>
      <c r="D35" s="9" t="s">
        <v>50</v>
      </c>
      <c r="E35" s="9" t="s">
        <v>78</v>
      </c>
      <c r="F35" s="9" t="s">
        <v>172</v>
      </c>
      <c r="G35" s="9" t="s">
        <v>173</v>
      </c>
      <c r="H35" s="9" t="s">
        <v>49</v>
      </c>
      <c r="I35" s="10"/>
      <c r="J35" s="10"/>
      <c r="K35" s="10"/>
    </row>
    <row r="36" customFormat="false" ht="39.55" hidden="false" customHeight="false" outlineLevel="0" collapsed="false">
      <c r="A36" s="9" t="s">
        <v>174</v>
      </c>
      <c r="B36" s="9" t="s">
        <v>28</v>
      </c>
      <c r="C36" s="9" t="s">
        <v>19</v>
      </c>
      <c r="D36" s="9" t="s">
        <v>50</v>
      </c>
      <c r="E36" s="9" t="s">
        <v>78</v>
      </c>
      <c r="F36" s="9" t="s">
        <v>175</v>
      </c>
      <c r="G36" s="9" t="s">
        <v>176</v>
      </c>
      <c r="H36" s="9" t="s">
        <v>49</v>
      </c>
      <c r="I36" s="10"/>
      <c r="J36" s="10"/>
      <c r="K36" s="10"/>
    </row>
    <row r="37" customFormat="false" ht="39.55" hidden="false" customHeight="false" outlineLevel="0" collapsed="false">
      <c r="A37" s="9" t="s">
        <v>177</v>
      </c>
      <c r="B37" s="9" t="s">
        <v>28</v>
      </c>
      <c r="C37" s="9" t="s">
        <v>20</v>
      </c>
      <c r="D37" s="9" t="s">
        <v>85</v>
      </c>
      <c r="E37" s="9" t="s">
        <v>68</v>
      </c>
      <c r="F37" s="9" t="s">
        <v>178</v>
      </c>
      <c r="G37" s="9" t="s">
        <v>179</v>
      </c>
      <c r="H37" s="9" t="s">
        <v>49</v>
      </c>
      <c r="I37" s="10"/>
      <c r="J37" s="10"/>
      <c r="K37" s="10"/>
    </row>
    <row r="38" customFormat="false" ht="39.55" hidden="false" customHeight="false" outlineLevel="0" collapsed="false">
      <c r="A38" s="9" t="s">
        <v>180</v>
      </c>
      <c r="B38" s="9" t="s">
        <v>28</v>
      </c>
      <c r="C38" s="9" t="s">
        <v>20</v>
      </c>
      <c r="D38" s="9" t="s">
        <v>85</v>
      </c>
      <c r="E38" s="9" t="s">
        <v>68</v>
      </c>
      <c r="F38" s="9" t="s">
        <v>181</v>
      </c>
      <c r="G38" s="9" t="s">
        <v>182</v>
      </c>
      <c r="H38" s="9" t="s">
        <v>49</v>
      </c>
      <c r="I38" s="10"/>
      <c r="J38" s="10"/>
      <c r="K38" s="10"/>
    </row>
    <row r="39" customFormat="false" ht="39.55" hidden="false" customHeight="false" outlineLevel="0" collapsed="false">
      <c r="A39" s="9" t="s">
        <v>183</v>
      </c>
      <c r="B39" s="9" t="s">
        <v>28</v>
      </c>
      <c r="C39" s="9" t="s">
        <v>20</v>
      </c>
      <c r="D39" s="9" t="s">
        <v>85</v>
      </c>
      <c r="E39" s="9" t="s">
        <v>68</v>
      </c>
      <c r="F39" s="9" t="s">
        <v>184</v>
      </c>
      <c r="G39" s="9" t="s">
        <v>185</v>
      </c>
      <c r="H39" s="9" t="s">
        <v>49</v>
      </c>
      <c r="I39" s="10"/>
      <c r="J39" s="10"/>
      <c r="K39" s="10"/>
    </row>
    <row r="40" customFormat="false" ht="39.55" hidden="false" customHeight="false" outlineLevel="0" collapsed="false">
      <c r="A40" s="9" t="s">
        <v>186</v>
      </c>
      <c r="B40" s="9" t="s">
        <v>28</v>
      </c>
      <c r="C40" s="9" t="s">
        <v>20</v>
      </c>
      <c r="D40" s="9" t="s">
        <v>85</v>
      </c>
      <c r="E40" s="9" t="s">
        <v>78</v>
      </c>
      <c r="F40" s="9" t="s">
        <v>187</v>
      </c>
      <c r="G40" s="9" t="s">
        <v>188</v>
      </c>
      <c r="H40" s="9" t="s">
        <v>49</v>
      </c>
      <c r="I40" s="10"/>
      <c r="J40" s="10"/>
      <c r="K40" s="10"/>
    </row>
    <row r="41" customFormat="false" ht="39.55" hidden="false" customHeight="false" outlineLevel="0" collapsed="false">
      <c r="A41" s="9" t="s">
        <v>189</v>
      </c>
      <c r="B41" s="9" t="s">
        <v>28</v>
      </c>
      <c r="C41" s="9" t="s">
        <v>20</v>
      </c>
      <c r="D41" s="9" t="s">
        <v>85</v>
      </c>
      <c r="E41" s="9" t="s">
        <v>78</v>
      </c>
      <c r="F41" s="9" t="s">
        <v>190</v>
      </c>
      <c r="G41" s="9" t="s">
        <v>191</v>
      </c>
      <c r="H41" s="9" t="s">
        <v>49</v>
      </c>
      <c r="I41" s="10"/>
      <c r="J41" s="10"/>
      <c r="K41" s="10"/>
    </row>
    <row r="42" customFormat="false" ht="26.85" hidden="false" customHeight="false" outlineLevel="0" collapsed="false">
      <c r="A42" s="9" t="s">
        <v>192</v>
      </c>
      <c r="B42" s="9" t="s">
        <v>29</v>
      </c>
      <c r="C42" s="9" t="s">
        <v>19</v>
      </c>
      <c r="D42" s="9" t="s">
        <v>50</v>
      </c>
      <c r="E42" s="9" t="s">
        <v>68</v>
      </c>
      <c r="F42" s="9" t="s">
        <v>193</v>
      </c>
      <c r="G42" s="9" t="s">
        <v>194</v>
      </c>
      <c r="H42" s="9" t="s">
        <v>53</v>
      </c>
      <c r="I42" s="10"/>
      <c r="J42" s="10"/>
      <c r="K42" s="10"/>
    </row>
    <row r="43" customFormat="false" ht="26.85" hidden="false" customHeight="false" outlineLevel="0" collapsed="false">
      <c r="A43" s="9" t="s">
        <v>195</v>
      </c>
      <c r="B43" s="9" t="s">
        <v>29</v>
      </c>
      <c r="C43" s="9" t="s">
        <v>19</v>
      </c>
      <c r="D43" s="9" t="s">
        <v>50</v>
      </c>
      <c r="E43" s="9" t="s">
        <v>68</v>
      </c>
      <c r="F43" s="9" t="s">
        <v>196</v>
      </c>
      <c r="G43" s="9" t="s">
        <v>197</v>
      </c>
      <c r="H43" s="9" t="s">
        <v>53</v>
      </c>
      <c r="I43" s="10"/>
      <c r="J43" s="10"/>
      <c r="K43" s="10"/>
    </row>
    <row r="44" customFormat="false" ht="26.85" hidden="false" customHeight="false" outlineLevel="0" collapsed="false">
      <c r="A44" s="9" t="s">
        <v>198</v>
      </c>
      <c r="B44" s="9" t="s">
        <v>29</v>
      </c>
      <c r="C44" s="9" t="s">
        <v>19</v>
      </c>
      <c r="D44" s="9" t="s">
        <v>50</v>
      </c>
      <c r="E44" s="9" t="s">
        <v>68</v>
      </c>
      <c r="F44" s="9" t="s">
        <v>199</v>
      </c>
      <c r="G44" s="9" t="s">
        <v>200</v>
      </c>
      <c r="H44" s="9" t="s">
        <v>53</v>
      </c>
      <c r="I44" s="10"/>
      <c r="J44" s="10"/>
      <c r="K44" s="10"/>
    </row>
    <row r="45" customFormat="false" ht="26.85" hidden="false" customHeight="false" outlineLevel="0" collapsed="false">
      <c r="A45" s="9" t="s">
        <v>201</v>
      </c>
      <c r="B45" s="9" t="s">
        <v>29</v>
      </c>
      <c r="C45" s="9" t="s">
        <v>19</v>
      </c>
      <c r="D45" s="9" t="s">
        <v>50</v>
      </c>
      <c r="E45" s="9" t="s">
        <v>78</v>
      </c>
      <c r="F45" s="9" t="s">
        <v>202</v>
      </c>
      <c r="G45" s="9" t="s">
        <v>203</v>
      </c>
      <c r="H45" s="9" t="s">
        <v>53</v>
      </c>
      <c r="I45" s="10"/>
      <c r="J45" s="10"/>
      <c r="K45" s="10"/>
    </row>
    <row r="46" customFormat="false" ht="26.85" hidden="false" customHeight="false" outlineLevel="0" collapsed="false">
      <c r="A46" s="9" t="s">
        <v>204</v>
      </c>
      <c r="B46" s="9" t="s">
        <v>29</v>
      </c>
      <c r="C46" s="9" t="s">
        <v>19</v>
      </c>
      <c r="D46" s="9" t="s">
        <v>50</v>
      </c>
      <c r="E46" s="9" t="s">
        <v>78</v>
      </c>
      <c r="F46" s="9" t="s">
        <v>205</v>
      </c>
      <c r="G46" s="9" t="s">
        <v>206</v>
      </c>
      <c r="H46" s="9" t="s">
        <v>53</v>
      </c>
      <c r="I46" s="10"/>
      <c r="J46" s="10"/>
      <c r="K46" s="10"/>
    </row>
    <row r="47" customFormat="false" ht="26.85" hidden="false" customHeight="false" outlineLevel="0" collapsed="false">
      <c r="A47" s="9" t="s">
        <v>207</v>
      </c>
      <c r="B47" s="9" t="s">
        <v>29</v>
      </c>
      <c r="C47" s="9" t="s">
        <v>20</v>
      </c>
      <c r="D47" s="9" t="s">
        <v>85</v>
      </c>
      <c r="E47" s="9" t="s">
        <v>68</v>
      </c>
      <c r="F47" s="9" t="s">
        <v>208</v>
      </c>
      <c r="G47" s="9" t="s">
        <v>209</v>
      </c>
      <c r="H47" s="9" t="s">
        <v>53</v>
      </c>
      <c r="I47" s="10"/>
      <c r="J47" s="10"/>
      <c r="K47" s="10"/>
    </row>
    <row r="48" customFormat="false" ht="26.85" hidden="false" customHeight="false" outlineLevel="0" collapsed="false">
      <c r="A48" s="9" t="s">
        <v>210</v>
      </c>
      <c r="B48" s="9" t="s">
        <v>29</v>
      </c>
      <c r="C48" s="9" t="s">
        <v>20</v>
      </c>
      <c r="D48" s="9" t="s">
        <v>85</v>
      </c>
      <c r="E48" s="9" t="s">
        <v>68</v>
      </c>
      <c r="F48" s="9" t="s">
        <v>211</v>
      </c>
      <c r="G48" s="9" t="s">
        <v>212</v>
      </c>
      <c r="H48" s="9" t="s">
        <v>53</v>
      </c>
      <c r="I48" s="10"/>
      <c r="J48" s="10"/>
      <c r="K48" s="10"/>
    </row>
    <row r="49" customFormat="false" ht="26.85" hidden="false" customHeight="false" outlineLevel="0" collapsed="false">
      <c r="A49" s="9" t="s">
        <v>213</v>
      </c>
      <c r="B49" s="9" t="s">
        <v>29</v>
      </c>
      <c r="C49" s="9" t="s">
        <v>20</v>
      </c>
      <c r="D49" s="9" t="s">
        <v>85</v>
      </c>
      <c r="E49" s="9" t="s">
        <v>68</v>
      </c>
      <c r="F49" s="9" t="s">
        <v>214</v>
      </c>
      <c r="G49" s="9" t="s">
        <v>215</v>
      </c>
      <c r="H49" s="9" t="s">
        <v>53</v>
      </c>
      <c r="I49" s="10"/>
      <c r="J49" s="10"/>
      <c r="K49" s="10"/>
    </row>
    <row r="50" customFormat="false" ht="26.85" hidden="false" customHeight="false" outlineLevel="0" collapsed="false">
      <c r="A50" s="9" t="s">
        <v>216</v>
      </c>
      <c r="B50" s="9" t="s">
        <v>29</v>
      </c>
      <c r="C50" s="9" t="s">
        <v>20</v>
      </c>
      <c r="D50" s="9" t="s">
        <v>85</v>
      </c>
      <c r="E50" s="9" t="s">
        <v>78</v>
      </c>
      <c r="F50" s="9" t="s">
        <v>217</v>
      </c>
      <c r="G50" s="9" t="s">
        <v>218</v>
      </c>
      <c r="H50" s="9" t="s">
        <v>53</v>
      </c>
      <c r="I50" s="10"/>
      <c r="J50" s="10"/>
      <c r="K50" s="10"/>
    </row>
    <row r="51" customFormat="false" ht="26.85" hidden="false" customHeight="false" outlineLevel="0" collapsed="false">
      <c r="A51" s="9" t="s">
        <v>219</v>
      </c>
      <c r="B51" s="9" t="s">
        <v>29</v>
      </c>
      <c r="C51" s="9" t="s">
        <v>20</v>
      </c>
      <c r="D51" s="9" t="s">
        <v>85</v>
      </c>
      <c r="E51" s="9" t="s">
        <v>78</v>
      </c>
      <c r="F51" s="9" t="s">
        <v>220</v>
      </c>
      <c r="G51" s="9" t="s">
        <v>221</v>
      </c>
      <c r="H51" s="9" t="s">
        <v>53</v>
      </c>
      <c r="I51" s="10"/>
      <c r="J51" s="10"/>
      <c r="K51" s="10"/>
    </row>
    <row r="52" customFormat="false" ht="39.55" hidden="false" customHeight="false" outlineLevel="0" collapsed="false">
      <c r="A52" s="9" t="s">
        <v>222</v>
      </c>
      <c r="B52" s="9" t="s">
        <v>30</v>
      </c>
      <c r="C52" s="9" t="s">
        <v>19</v>
      </c>
      <c r="D52" s="9" t="s">
        <v>39</v>
      </c>
      <c r="E52" s="9" t="s">
        <v>68</v>
      </c>
      <c r="F52" s="9" t="s">
        <v>223</v>
      </c>
      <c r="G52" s="9" t="s">
        <v>224</v>
      </c>
      <c r="H52" s="9" t="s">
        <v>56</v>
      </c>
      <c r="I52" s="10"/>
      <c r="J52" s="10"/>
      <c r="K52" s="10"/>
    </row>
    <row r="53" customFormat="false" ht="39.55" hidden="false" customHeight="false" outlineLevel="0" collapsed="false">
      <c r="A53" s="9" t="s">
        <v>225</v>
      </c>
      <c r="B53" s="9" t="s">
        <v>30</v>
      </c>
      <c r="C53" s="9" t="s">
        <v>19</v>
      </c>
      <c r="D53" s="9" t="s">
        <v>50</v>
      </c>
      <c r="E53" s="9" t="s">
        <v>68</v>
      </c>
      <c r="F53" s="9" t="s">
        <v>226</v>
      </c>
      <c r="G53" s="9" t="s">
        <v>227</v>
      </c>
      <c r="H53" s="9" t="s">
        <v>56</v>
      </c>
      <c r="I53" s="10"/>
      <c r="J53" s="10"/>
      <c r="K53" s="10"/>
    </row>
    <row r="54" customFormat="false" ht="39.55" hidden="false" customHeight="false" outlineLevel="0" collapsed="false">
      <c r="A54" s="9" t="s">
        <v>228</v>
      </c>
      <c r="B54" s="9" t="s">
        <v>30</v>
      </c>
      <c r="C54" s="9" t="s">
        <v>19</v>
      </c>
      <c r="D54" s="9" t="s">
        <v>50</v>
      </c>
      <c r="E54" s="9" t="s">
        <v>68</v>
      </c>
      <c r="F54" s="9" t="s">
        <v>229</v>
      </c>
      <c r="G54" s="9" t="s">
        <v>230</v>
      </c>
      <c r="H54" s="9" t="s">
        <v>56</v>
      </c>
      <c r="I54" s="10"/>
      <c r="J54" s="10"/>
      <c r="K54" s="10"/>
    </row>
    <row r="55" customFormat="false" ht="39.55" hidden="false" customHeight="false" outlineLevel="0" collapsed="false">
      <c r="A55" s="9" t="s">
        <v>231</v>
      </c>
      <c r="B55" s="9" t="s">
        <v>30</v>
      </c>
      <c r="C55" s="9" t="s">
        <v>19</v>
      </c>
      <c r="D55" s="9" t="s">
        <v>50</v>
      </c>
      <c r="E55" s="9" t="s">
        <v>78</v>
      </c>
      <c r="F55" s="9" t="s">
        <v>232</v>
      </c>
      <c r="G55" s="9" t="s">
        <v>233</v>
      </c>
      <c r="H55" s="9" t="s">
        <v>56</v>
      </c>
      <c r="I55" s="10"/>
      <c r="J55" s="10"/>
      <c r="K55" s="10"/>
    </row>
    <row r="56" customFormat="false" ht="39.55" hidden="false" customHeight="false" outlineLevel="0" collapsed="false">
      <c r="A56" s="9" t="s">
        <v>234</v>
      </c>
      <c r="B56" s="9" t="s">
        <v>30</v>
      </c>
      <c r="C56" s="9" t="s">
        <v>19</v>
      </c>
      <c r="D56" s="9" t="s">
        <v>39</v>
      </c>
      <c r="E56" s="9" t="s">
        <v>78</v>
      </c>
      <c r="F56" s="9" t="s">
        <v>235</v>
      </c>
      <c r="G56" s="9" t="s">
        <v>236</v>
      </c>
      <c r="H56" s="9" t="s">
        <v>56</v>
      </c>
      <c r="I56" s="10"/>
      <c r="J56" s="10"/>
      <c r="K56" s="10"/>
    </row>
    <row r="57" customFormat="false" ht="39.55" hidden="false" customHeight="false" outlineLevel="0" collapsed="false">
      <c r="A57" s="9" t="s">
        <v>237</v>
      </c>
      <c r="B57" s="9" t="s">
        <v>30</v>
      </c>
      <c r="C57" s="9" t="s">
        <v>20</v>
      </c>
      <c r="D57" s="9" t="s">
        <v>85</v>
      </c>
      <c r="E57" s="9" t="s">
        <v>68</v>
      </c>
      <c r="F57" s="9" t="s">
        <v>238</v>
      </c>
      <c r="G57" s="9" t="s">
        <v>239</v>
      </c>
      <c r="H57" s="9" t="s">
        <v>56</v>
      </c>
      <c r="I57" s="10"/>
      <c r="J57" s="10"/>
      <c r="K57" s="10"/>
    </row>
    <row r="58" customFormat="false" ht="39.55" hidden="false" customHeight="false" outlineLevel="0" collapsed="false">
      <c r="A58" s="9" t="s">
        <v>240</v>
      </c>
      <c r="B58" s="9" t="s">
        <v>30</v>
      </c>
      <c r="C58" s="9" t="s">
        <v>20</v>
      </c>
      <c r="D58" s="9" t="s">
        <v>85</v>
      </c>
      <c r="E58" s="9" t="s">
        <v>68</v>
      </c>
      <c r="F58" s="9" t="s">
        <v>241</v>
      </c>
      <c r="G58" s="9" t="s">
        <v>242</v>
      </c>
      <c r="H58" s="9" t="s">
        <v>56</v>
      </c>
      <c r="I58" s="10"/>
      <c r="J58" s="10"/>
      <c r="K58" s="10"/>
    </row>
    <row r="59" customFormat="false" ht="39.55" hidden="false" customHeight="false" outlineLevel="0" collapsed="false">
      <c r="A59" s="9" t="s">
        <v>243</v>
      </c>
      <c r="B59" s="9" t="s">
        <v>30</v>
      </c>
      <c r="C59" s="9" t="s">
        <v>20</v>
      </c>
      <c r="D59" s="9" t="s">
        <v>85</v>
      </c>
      <c r="E59" s="9" t="s">
        <v>68</v>
      </c>
      <c r="F59" s="9" t="s">
        <v>244</v>
      </c>
      <c r="G59" s="9" t="s">
        <v>245</v>
      </c>
      <c r="H59" s="9" t="s">
        <v>56</v>
      </c>
      <c r="I59" s="10"/>
      <c r="J59" s="10"/>
      <c r="K59" s="10"/>
    </row>
    <row r="60" customFormat="false" ht="39.55" hidden="false" customHeight="false" outlineLevel="0" collapsed="false">
      <c r="A60" s="9" t="s">
        <v>246</v>
      </c>
      <c r="B60" s="9" t="s">
        <v>30</v>
      </c>
      <c r="C60" s="9" t="s">
        <v>20</v>
      </c>
      <c r="D60" s="9" t="s">
        <v>85</v>
      </c>
      <c r="E60" s="9" t="s">
        <v>78</v>
      </c>
      <c r="F60" s="9" t="s">
        <v>247</v>
      </c>
      <c r="G60" s="9" t="s">
        <v>248</v>
      </c>
      <c r="H60" s="9" t="s">
        <v>56</v>
      </c>
      <c r="I60" s="10"/>
      <c r="J60" s="10"/>
      <c r="K60" s="10"/>
    </row>
    <row r="61" customFormat="false" ht="39.55" hidden="false" customHeight="false" outlineLevel="0" collapsed="false">
      <c r="A61" s="9" t="s">
        <v>249</v>
      </c>
      <c r="B61" s="9" t="s">
        <v>30</v>
      </c>
      <c r="C61" s="9" t="s">
        <v>20</v>
      </c>
      <c r="D61" s="9" t="s">
        <v>85</v>
      </c>
      <c r="E61" s="9" t="s">
        <v>78</v>
      </c>
      <c r="F61" s="9" t="s">
        <v>250</v>
      </c>
      <c r="G61" s="9" t="s">
        <v>251</v>
      </c>
      <c r="H61" s="9" t="s">
        <v>56</v>
      </c>
      <c r="I61" s="10"/>
      <c r="J61" s="10"/>
      <c r="K61" s="10"/>
    </row>
  </sheetData>
  <autoFilter ref="A1:K61"/>
  <conditionalFormatting sqref="D2:D61">
    <cfRule type="expression" priority="2" aboveAverage="0" equalAverage="0" bottom="0" percent="0" rank="0" text="" dxfId="7">
      <formula>$D2="red"</formula>
    </cfRule>
    <cfRule type="expression" priority="3" aboveAverage="0" equalAverage="0" bottom="0" percent="0" rank="0" text="" dxfId="8">
      <formula>$D2="yellow"</formula>
    </cfRule>
    <cfRule type="expression" priority="4" aboveAverage="0" equalAverage="0" bottom="0" percent="0" rank="0" text="" dxfId="9">
      <formula>$D2="none"</formula>
    </cfRule>
  </conditionalFormatting>
  <dataValidations count="1">
    <dataValidation allowBlank="true" errorStyle="stop" operator="between" showDropDown="false" showErrorMessage="false" showInputMessage="false" sqref="I2:I61" type="list">
      <formula1>"yes,no,unsure"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2026-10-18T00:12:53Z</dcterms:created>
  <dc:creator>openpyxl</dc:creator>
  <dc:description/>
  <dc:language>en-US</dc:language>
  <cp:lastModifiedBy/>
  <dcterms:modified xsi:type="dcterms:W3CDTF">2026-10-18T00:12:53Z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